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rojects\201801.university.t7\advanced_optimization\lab\"/>
    </mc:Choice>
  </mc:AlternateContent>
  <bookViews>
    <workbookView xWindow="0" yWindow="0" windowWidth="22068" windowHeight="9636" xr2:uid="{00000000-000D-0000-FFFF-FFFF00000000}"/>
  </bookViews>
  <sheets>
    <sheet name="Assignment" sheetId="1" r:id="rId1"/>
    <sheet name="ChartData" sheetId="2" r:id="rId2"/>
  </sheets>
  <definedNames>
    <definedName name="L_AssignedStation">Assignment!$C$2:$C$27</definedName>
    <definedName name="L_AssignmentNumber">Assignment!$D$2:$D$27</definedName>
    <definedName name="L_TaskTimes">Assignment!$B$2:$B$27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" i="2" l="1"/>
  <c r="S4" i="2"/>
  <c r="T4" i="2"/>
  <c r="U4" i="2"/>
  <c r="V4" i="2"/>
  <c r="W4" i="2"/>
  <c r="X4" i="2"/>
  <c r="Y4" i="2"/>
  <c r="Z4" i="2"/>
  <c r="AA4" i="2"/>
  <c r="AB4" i="2"/>
  <c r="R5" i="2"/>
  <c r="S5" i="2"/>
  <c r="T5" i="2"/>
  <c r="U5" i="2"/>
  <c r="V5" i="2"/>
  <c r="W5" i="2"/>
  <c r="X5" i="2"/>
  <c r="Y5" i="2"/>
  <c r="Z5" i="2"/>
  <c r="AA5" i="2"/>
  <c r="AB5" i="2"/>
  <c r="O4" i="2"/>
  <c r="P4" i="2"/>
  <c r="Q4" i="2"/>
  <c r="O5" i="2"/>
  <c r="P5" i="2"/>
  <c r="Q5" i="2"/>
  <c r="C5" i="2"/>
  <c r="D5" i="2"/>
  <c r="E5" i="2"/>
  <c r="F5" i="2"/>
  <c r="G5" i="2"/>
  <c r="H5" i="2"/>
  <c r="I5" i="2"/>
  <c r="J5" i="2"/>
  <c r="K5" i="2"/>
  <c r="L5" i="2"/>
  <c r="M5" i="2"/>
  <c r="N5" i="2"/>
  <c r="D4" i="2"/>
  <c r="E4" i="2"/>
  <c r="F4" i="2"/>
  <c r="G4" i="2"/>
  <c r="H4" i="2"/>
  <c r="I4" i="2"/>
  <c r="J4" i="2"/>
  <c r="K4" i="2"/>
  <c r="L4" i="2"/>
  <c r="M4" i="2"/>
  <c r="N4" i="2"/>
  <c r="C4" i="2"/>
</calcChain>
</file>

<file path=xl/sharedStrings.xml><?xml version="1.0" encoding="utf-8"?>
<sst xmlns="http://schemas.openxmlformats.org/spreadsheetml/2006/main" count="38" uniqueCount="32">
  <si>
    <t>Tasks</t>
  </si>
  <si>
    <t>Task Times</t>
  </si>
  <si>
    <t>A</t>
  </si>
  <si>
    <t>B</t>
  </si>
  <si>
    <t>Assigned Station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</si>
  <si>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</si>
  <si>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</si>
  <si>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</si>
  <si>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</si>
  <si>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</si>
  <si>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</si>
  <si>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</si>
  <si>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</si>
  <si>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</si>
  <si>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</si>
  <si>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</si>
  <si>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</si>
  <si>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</si>
  <si>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</si>
  <si>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</si>
  <si>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</si>
  <si>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</si>
  <si>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Order in Station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</si>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</sst>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0"/>
      <color theme="1"/>
      <name val="Gövde Yazı Tipi"/>
      <family val="2"/>
    </font>
    <font>
      <b/>
      <sz val="10"/>
      <color theme="1"/>
      <name val="Gövde Yazı Tipi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right" indent="1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left" wrapText="1" indent="1"/>
    </xf>
    <xf numFmtId="0" fontId="1" fillId="3" borderId="1" xfId="0" applyFont="1" applyFill="1" applyBorder="1" applyAlignment="1">
      <alignment horizontal="right" wrapText="1" indent="1"/>
    </xf>
    <xf numFmtId="0" fontId="1" fillId="3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left" indent="1"/>
    </xf>
    <xf numFmtId="0" fontId="0" fillId="2" borderId="1" xfId="0" applyFill="1" applyBorder="1" applyAlignment="1">
      <alignment horizontal="right" inden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accent4">
                <a:lumMod val="20000"/>
                <a:lumOff val="80000"/>
              </a:schemeClr>
            </a:solidFill>
            <a:ln cap="flat"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ChartData!$C$4:$C$5</c:f>
              <c:numCache>
                <c:formatCode>General</c:formatCode>
                <c:ptCount val="2"/>
                <c:pt idx="0">
                  <c:v>0</c:v>
                </c:pt>
                <c:pt idx="1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C-429C-B241-18783C2BAC10}"/>
            </c:ext>
          </c:extLst>
        </c:ser>
        <c:ser>
          <c:idx val="1"/>
          <c:order val="1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ChartData!$D$4:$D$5</c:f>
              <c:numCache>
                <c:formatCode>General</c:formatCode>
                <c:ptCount val="2"/>
                <c:pt idx="0">
                  <c:v>283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C-429C-B241-18783C2BAC10}"/>
            </c:ext>
          </c:extLst>
        </c:ser>
        <c:ser>
          <c:idx val="2"/>
          <c:order val="2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ChartData!$E$4:$E$5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7C-429C-B241-18783C2BAC10}"/>
            </c:ext>
          </c:extLst>
        </c:ser>
        <c:ser>
          <c:idx val="3"/>
          <c:order val="3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ChartData!$F$4:$F$5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7C-429C-B241-18783C2BAC10}"/>
            </c:ext>
          </c:extLst>
        </c:ser>
        <c:ser>
          <c:idx val="4"/>
          <c:order val="4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ChartData!$G$4:$G$5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7C-429C-B241-18783C2BAC10}"/>
            </c:ext>
          </c:extLst>
        </c:ser>
        <c:ser>
          <c:idx val="5"/>
          <c:order val="5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ChartData!$H$4:$H$5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7C-429C-B241-18783C2BAC10}"/>
            </c:ext>
          </c:extLst>
        </c:ser>
        <c:ser>
          <c:idx val="6"/>
          <c:order val="6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ChartData!$I$4:$I$5</c:f>
              <c:numCache>
                <c:formatCode>General</c:formatCode>
                <c:ptCount val="2"/>
                <c:pt idx="0">
                  <c:v>160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7C-429C-B241-18783C2BAC10}"/>
            </c:ext>
          </c:extLst>
        </c:ser>
        <c:ser>
          <c:idx val="7"/>
          <c:order val="7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ChartData!$J$4:$J$5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7C-429C-B241-18783C2BAC10}"/>
            </c:ext>
          </c:extLst>
        </c:ser>
        <c:ser>
          <c:idx val="8"/>
          <c:order val="8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ChartData!$K$4:$K$5</c:f>
              <c:numCache>
                <c:formatCode>General</c:formatCode>
                <c:ptCount val="2"/>
                <c:pt idx="0">
                  <c:v>0</c:v>
                </c:pt>
                <c:pt idx="1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7C-429C-B241-18783C2BAC10}"/>
            </c:ext>
          </c:extLst>
        </c:ser>
        <c:ser>
          <c:idx val="9"/>
          <c:order val="9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ChartData!$L$4:$L$5</c:f>
              <c:numCache>
                <c:formatCode>General</c:formatCode>
                <c:ptCount val="2"/>
                <c:pt idx="0">
                  <c:v>0</c:v>
                </c:pt>
                <c:pt idx="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7C-429C-B241-18783C2BAC10}"/>
            </c:ext>
          </c:extLst>
        </c:ser>
        <c:ser>
          <c:idx val="10"/>
          <c:order val="1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ChartData!$M$4:$M$5</c:f>
              <c:numCache>
                <c:formatCode>General</c:formatCode>
                <c:ptCount val="2"/>
                <c:pt idx="0">
                  <c:v>77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7C-429C-B241-18783C2BAC10}"/>
            </c:ext>
          </c:extLst>
        </c:ser>
        <c:ser>
          <c:idx val="11"/>
          <c:order val="11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ChartData!$N$4:$N$5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77C-429C-B241-18783C2BAC10}"/>
            </c:ext>
          </c:extLst>
        </c:ser>
        <c:ser>
          <c:idx val="12"/>
          <c:order val="12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ChartData!$O$4:$O$5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77C-429C-B241-18783C2BAC10}"/>
            </c:ext>
          </c:extLst>
        </c:ser>
        <c:ser>
          <c:idx val="13"/>
          <c:order val="13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ChartData!$P$4:$P$5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7C-429C-B241-18783C2BAC10}"/>
            </c:ext>
          </c:extLst>
        </c:ser>
        <c:ser>
          <c:idx val="14"/>
          <c:order val="14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ChartData!$Q$4:$Q$5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77C-429C-B241-18783C2BAC10}"/>
            </c:ext>
          </c:extLst>
        </c:ser>
        <c:ser>
          <c:idx val="15"/>
          <c:order val="15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ChartData!$R$4:$R$5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77C-429C-B241-18783C2BAC10}"/>
            </c:ext>
          </c:extLst>
        </c:ser>
        <c:ser>
          <c:idx val="16"/>
          <c:order val="16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ChartData!$S$4:$S$5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77C-429C-B241-18783C2BAC10}"/>
            </c:ext>
          </c:extLst>
        </c:ser>
        <c:ser>
          <c:idx val="17"/>
          <c:order val="17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ChartData!$T$4:$T$5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77C-429C-B241-18783C2BAC10}"/>
            </c:ext>
          </c:extLst>
        </c:ser>
        <c:ser>
          <c:idx val="18"/>
          <c:order val="18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ChartData!$U$4:$U$5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77C-429C-B241-18783C2BAC10}"/>
            </c:ext>
          </c:extLst>
        </c:ser>
        <c:ser>
          <c:idx val="19"/>
          <c:order val="19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ChartData!$V$4:$V$5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77C-429C-B241-18783C2BAC10}"/>
            </c:ext>
          </c:extLst>
        </c:ser>
        <c:ser>
          <c:idx val="20"/>
          <c:order val="2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ChartData!$W$4:$W$5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77C-429C-B241-18783C2BAC10}"/>
            </c:ext>
          </c:extLst>
        </c:ser>
        <c:ser>
          <c:idx val="21"/>
          <c:order val="21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ChartData!$X$4:$X$5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77C-429C-B241-18783C2BAC10}"/>
            </c:ext>
          </c:extLst>
        </c:ser>
        <c:ser>
          <c:idx val="22"/>
          <c:order val="22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ChartData!$Y$4:$Y$5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77C-429C-B241-18783C2BAC10}"/>
            </c:ext>
          </c:extLst>
        </c:ser>
        <c:ser>
          <c:idx val="23"/>
          <c:order val="23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ChartData!$Z$4:$Z$5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77C-429C-B241-18783C2BAC10}"/>
            </c:ext>
          </c:extLst>
        </c:ser>
        <c:ser>
          <c:idx val="24"/>
          <c:order val="24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ChartData!$AA$4:$AA$5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77C-429C-B241-18783C2BAC10}"/>
            </c:ext>
          </c:extLst>
        </c:ser>
        <c:ser>
          <c:idx val="25"/>
          <c:order val="25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ChartData!$B$4:$B$5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ChartData!$AB$4:$AB$5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77C-429C-B241-18783C2BA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938576"/>
        <c:axId val="470923424"/>
      </c:barChart>
      <c:catAx>
        <c:axId val="4709385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sz="1400" b="1">
                <a:latin typeface="Trebuchet MS" pitchFamily="34" charset="0"/>
              </a:defRPr>
            </a:pPr>
            <a:endParaRPr lang="en-US"/>
          </a:p>
        </c:txPr>
        <c:crossAx val="470923424"/>
        <c:crosses val="autoZero"/>
        <c:auto val="1"/>
        <c:lblAlgn val="ctr"/>
        <c:lblOffset val="100"/>
        <c:noMultiLvlLbl val="0"/>
      </c:catAx>
      <c:valAx>
        <c:axId val="4709234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>
                    <a:latin typeface="Trebuchet MS" pitchFamily="34" charset="0"/>
                  </a:defRPr>
                </a:pPr>
                <a:r>
                  <a:rPr lang="tr-TR" sz="1400">
                    <a:latin typeface="Trebuchet MS" pitchFamily="34" charset="0"/>
                  </a:rPr>
                  <a:t>Processing Time</a:t>
                </a:r>
                <a:endParaRPr lang="en-US" sz="1400">
                  <a:latin typeface="Trebuchet MS" pitchFamily="34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b="1">
                <a:latin typeface="Trebuchet MS" pitchFamily="34" charset="0"/>
              </a:defRPr>
            </a:pPr>
            <a:endParaRPr lang="en-US"/>
          </a:p>
        </c:txPr>
        <c:crossAx val="470938576"/>
        <c:crosses val="autoZero"/>
        <c:crossBetween val="between"/>
      </c:valAx>
      <c:spPr>
        <a:gradFill flip="none" rotWithShape="1">
          <a:gsLst>
            <a:gs pos="0">
              <a:schemeClr val="bg1"/>
            </a:gs>
            <a:gs pos="64999">
              <a:schemeClr val="bg1"/>
            </a:gs>
            <a:gs pos="100000">
              <a:srgbClr val="F0F0F0"/>
            </a:gs>
          </a:gsLst>
          <a:lin ang="2700000" scaled="1"/>
          <a:tileRect/>
        </a:gradFill>
        <a:effectLst>
          <a:glow rad="63500">
            <a:schemeClr val="bg1">
              <a:lumMod val="50000"/>
              <a:alpha val="40000"/>
            </a:schemeClr>
          </a:glow>
        </a:effectLst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spPr>
    <a:gradFill>
      <a:gsLst>
        <a:gs pos="0">
          <a:schemeClr val="bg1"/>
        </a:gs>
        <a:gs pos="64999">
          <a:schemeClr val="bg1"/>
        </a:gs>
        <a:gs pos="100000">
          <a:srgbClr val="F0F0F0"/>
        </a:gs>
      </a:gsLst>
      <a:lin ang="2700000" scaled="1"/>
    </a:gra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0</xdr:row>
      <xdr:rowOff>47625</xdr:rowOff>
    </xdr:from>
    <xdr:to>
      <xdr:col>18</xdr:col>
      <xdr:colOff>419100</xdr:colOff>
      <xdr:row>26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7"/>
  <sheetViews>
    <sheetView showGridLines="0" tabSelected="1" topLeftCell="A3" workbookViewId="0">
      <selection activeCell="D13" sqref="D13"/>
    </sheetView>
  </sheetViews>
  <sheetFormatPr defaultColWidth="9" defaultRowHeight="13.2"/>
  <cols>
    <col min="1" max="1" width="10.21875" customWidth="1"/>
    <col min="2" max="2" width="9.21875" customWidth="1"/>
    <col min="3" max="3" width="10.44140625" customWidth="1"/>
    <col min="4" max="4" width="11.44140625" customWidth="1"/>
  </cols>
  <sheetData>
    <row r="1" spans="1:4" ht="31.5" customHeight="1">
      <c r="A1" s="3" t="s">
        <v>0</v>
      </c>
      <c r="B1" s="4" t="s">
        <v>1</v>
      </c>
      <c r="C1" s="5" t="s">
        <v>4</v>
      </c>
      <c r="D1" s="4" t="s">
        <v>22</v>
      </c>
    </row>
    <row r="2" spans="1:4">
      <c r="A2" s="6" t="s">
        <v>23</v>
      </c>
      <c r="B2" s="7">
        <v>160</v>
      </c>
      <c r="C2" s="2" t="s">
        <v>2</v>
      </c>
      <c r="D2" s="1">
        <v>7</v>
      </c>
    </row>
    <row r="3" spans="1:4">
      <c r="A3" s="6" t="s">
        <v>5</v>
      </c>
      <c r="B3" s="7">
        <v>149</v>
      </c>
      <c r="C3" s="2" t="s">
        <v>3</v>
      </c>
      <c r="D3" s="1">
        <v>9</v>
      </c>
    </row>
    <row r="4" spans="1:4">
      <c r="A4" s="6" t="s">
        <v>6</v>
      </c>
      <c r="B4" s="7">
        <v>77</v>
      </c>
      <c r="C4" s="2" t="s">
        <v>2</v>
      </c>
      <c r="D4" s="1">
        <v>11</v>
      </c>
    </row>
    <row r="5" spans="1:4">
      <c r="A5" s="6" t="s">
        <v>7</v>
      </c>
      <c r="B5" s="7">
        <v>291</v>
      </c>
      <c r="C5" s="2" t="s">
        <v>3</v>
      </c>
      <c r="D5" s="1">
        <v>1</v>
      </c>
    </row>
    <row r="6" spans="1:4">
      <c r="A6" s="6" t="s">
        <v>8</v>
      </c>
      <c r="B6" s="7">
        <v>80</v>
      </c>
      <c r="C6" s="2" t="s">
        <v>3</v>
      </c>
      <c r="D6" s="1">
        <v>10</v>
      </c>
    </row>
    <row r="7" spans="1:4">
      <c r="A7" s="6" t="s">
        <v>9</v>
      </c>
      <c r="B7" s="7">
        <v>283</v>
      </c>
      <c r="C7" s="2" t="s">
        <v>2</v>
      </c>
      <c r="D7" s="1">
        <v>2</v>
      </c>
    </row>
    <row r="8" spans="1:4">
      <c r="A8" s="6" t="s">
        <v>10</v>
      </c>
      <c r="B8" s="7">
        <v>171</v>
      </c>
      <c r="C8" s="2"/>
      <c r="D8" s="1"/>
    </row>
    <row r="9" spans="1:4">
      <c r="A9" s="6" t="s">
        <v>11</v>
      </c>
      <c r="B9" s="7">
        <v>74</v>
      </c>
      <c r="C9" s="2"/>
      <c r="D9" s="1"/>
    </row>
    <row r="10" spans="1:4">
      <c r="A10" s="6" t="s">
        <v>12</v>
      </c>
      <c r="B10" s="7">
        <v>74</v>
      </c>
      <c r="C10" s="2"/>
      <c r="D10" s="1"/>
    </row>
    <row r="11" spans="1:4">
      <c r="A11" s="6" t="s">
        <v>13</v>
      </c>
      <c r="B11" s="7">
        <v>198</v>
      </c>
      <c r="C11" s="2"/>
      <c r="D11" s="1"/>
    </row>
    <row r="12" spans="1:4">
      <c r="A12" s="6" t="s">
        <v>14</v>
      </c>
      <c r="B12" s="7">
        <v>195</v>
      </c>
      <c r="C12" s="2"/>
      <c r="D12" s="1"/>
    </row>
    <row r="13" spans="1:4">
      <c r="A13" s="6" t="s">
        <v>24</v>
      </c>
      <c r="B13" s="7">
        <v>228</v>
      </c>
      <c r="C13" s="2"/>
      <c r="D13" s="1"/>
    </row>
    <row r="14" spans="1:4">
      <c r="A14" s="6" t="s">
        <v>15</v>
      </c>
      <c r="B14" s="7">
        <v>64</v>
      </c>
      <c r="C14" s="2"/>
      <c r="D14" s="1"/>
    </row>
    <row r="15" spans="1:4">
      <c r="A15" s="6" t="s">
        <v>16</v>
      </c>
      <c r="B15" s="7">
        <v>159</v>
      </c>
      <c r="C15" s="2"/>
      <c r="D15" s="1"/>
    </row>
    <row r="16" spans="1:4">
      <c r="A16" s="6" t="s">
        <v>17</v>
      </c>
      <c r="B16" s="7">
        <v>60</v>
      </c>
      <c r="C16" s="2"/>
      <c r="D16" s="1"/>
    </row>
    <row r="17" spans="1:4">
      <c r="A17" s="6" t="s">
        <v>18</v>
      </c>
      <c r="B17" s="7">
        <v>270</v>
      </c>
      <c r="C17" s="2"/>
      <c r="D17" s="1"/>
    </row>
    <row r="18" spans="1:4">
      <c r="A18" s="6" t="s">
        <v>19</v>
      </c>
      <c r="B18" s="7">
        <v>269</v>
      </c>
      <c r="C18" s="2"/>
      <c r="D18" s="1"/>
    </row>
    <row r="19" spans="1:4">
      <c r="A19" s="6" t="s">
        <v>20</v>
      </c>
      <c r="B19" s="7">
        <v>88</v>
      </c>
      <c r="C19" s="2"/>
      <c r="D19" s="1"/>
    </row>
    <row r="20" spans="1:4">
      <c r="A20" s="6" t="s">
        <v>21</v>
      </c>
      <c r="B20" s="7">
        <v>299</v>
      </c>
      <c r="C20" s="2"/>
      <c r="D20" s="1"/>
    </row>
    <row r="21" spans="1:4">
      <c r="A21" s="6" t="s">
        <v>25</v>
      </c>
      <c r="B21" s="7">
        <v>251</v>
      </c>
      <c r="C21" s="2"/>
      <c r="D21" s="1"/>
    </row>
    <row r="22" spans="1:4">
      <c r="A22" s="6" t="s">
        <v>26</v>
      </c>
      <c r="B22" s="7">
        <v>283</v>
      </c>
      <c r="C22" s="2"/>
      <c r="D22" s="1"/>
    </row>
    <row r="23" spans="1:4">
      <c r="A23" s="6" t="s">
        <v>27</v>
      </c>
      <c r="B23" s="7">
        <v>276</v>
      </c>
      <c r="C23" s="2"/>
      <c r="D23" s="1"/>
    </row>
    <row r="24" spans="1:4">
      <c r="A24" s="6" t="s">
        <v>28</v>
      </c>
      <c r="B24" s="7">
        <v>133</v>
      </c>
      <c r="C24" s="2"/>
      <c r="D24" s="1"/>
    </row>
    <row r="25" spans="1:4">
      <c r="A25" s="6" t="s">
        <v>29</v>
      </c>
      <c r="B25" s="7">
        <v>149</v>
      </c>
      <c r="C25" s="2"/>
      <c r="D25" s="1"/>
    </row>
    <row r="26" spans="1:4">
      <c r="A26" s="6" t="s">
        <v>30</v>
      </c>
      <c r="B26" s="7">
        <v>74</v>
      </c>
      <c r="C26" s="2"/>
      <c r="D26" s="1"/>
    </row>
    <row r="27" spans="1:4">
      <c r="A27" s="6" t="s">
        <v>31</v>
      </c>
      <c r="B27" s="7">
        <v>201</v>
      </c>
      <c r="C27" s="2"/>
      <c r="D27" s="1"/>
    </row>
  </sheetData>
  <sortState ref="A2:D27">
    <sortCondition ref="A1"/>
  </sortState>
  <dataValidations count="1">
    <dataValidation type="list" allowBlank="1" showInputMessage="1" showErrorMessage="1" error="Enter A for the first station,_x000a_or B for the second station." prompt="Enter A or B." sqref="C2:C27" xr:uid="{00000000-0002-0000-0000-000000000000}">
      <formula1>"A,B"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AB5"/>
  <sheetViews>
    <sheetView workbookViewId="0"/>
  </sheetViews>
  <sheetFormatPr defaultColWidth="9" defaultRowHeight="13.2"/>
  <cols>
    <col min="2" max="2" width="5.21875" bestFit="1" customWidth="1"/>
    <col min="3" max="28" width="4.77734375" customWidth="1"/>
    <col min="29" max="51" width="4.21875" customWidth="1"/>
  </cols>
  <sheetData>
    <row r="3" spans="2:28"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</row>
    <row r="4" spans="2:28">
      <c r="B4" s="11" t="s">
        <v>2</v>
      </c>
      <c r="C4" s="9">
        <f t="shared" ref="C4:L5" si="0">SUMPRODUCT((L_AssignedStation=$B4)*(L_AssignmentNumber=C$3)*(L_TaskTimes))</f>
        <v>0</v>
      </c>
      <c r="D4" s="10">
        <f t="shared" si="0"/>
        <v>283</v>
      </c>
      <c r="E4" s="10">
        <f t="shared" si="0"/>
        <v>0</v>
      </c>
      <c r="F4" s="10">
        <f t="shared" si="0"/>
        <v>0</v>
      </c>
      <c r="G4" s="10">
        <f t="shared" si="0"/>
        <v>0</v>
      </c>
      <c r="H4" s="10">
        <f t="shared" si="0"/>
        <v>0</v>
      </c>
      <c r="I4" s="10">
        <f t="shared" si="0"/>
        <v>160</v>
      </c>
      <c r="J4" s="10">
        <f t="shared" si="0"/>
        <v>0</v>
      </c>
      <c r="K4" s="10">
        <f t="shared" si="0"/>
        <v>0</v>
      </c>
      <c r="L4" s="10">
        <f t="shared" si="0"/>
        <v>0</v>
      </c>
      <c r="M4" s="10">
        <f t="shared" ref="M4:V5" si="1">SUMPRODUCT((L_AssignedStation=$B4)*(L_AssignmentNumber=M$3)*(L_TaskTimes))</f>
        <v>77</v>
      </c>
      <c r="N4" s="10">
        <f t="shared" si="1"/>
        <v>0</v>
      </c>
      <c r="O4" s="10">
        <f t="shared" si="1"/>
        <v>0</v>
      </c>
      <c r="P4" s="10">
        <f t="shared" si="1"/>
        <v>0</v>
      </c>
      <c r="Q4" s="10">
        <f t="shared" si="1"/>
        <v>0</v>
      </c>
      <c r="R4" s="10">
        <f t="shared" si="1"/>
        <v>0</v>
      </c>
      <c r="S4" s="10">
        <f t="shared" si="1"/>
        <v>0</v>
      </c>
      <c r="T4" s="10">
        <f t="shared" si="1"/>
        <v>0</v>
      </c>
      <c r="U4" s="10">
        <f t="shared" si="1"/>
        <v>0</v>
      </c>
      <c r="V4" s="10">
        <f t="shared" si="1"/>
        <v>0</v>
      </c>
      <c r="W4" s="10">
        <f t="shared" ref="W4:AB5" si="2">SUMPRODUCT((L_AssignedStation=$B4)*(L_AssignmentNumber=W$3)*(L_TaskTimes))</f>
        <v>0</v>
      </c>
      <c r="X4" s="10">
        <f t="shared" si="2"/>
        <v>0</v>
      </c>
      <c r="Y4" s="10">
        <f t="shared" si="2"/>
        <v>0</v>
      </c>
      <c r="Z4" s="10">
        <f t="shared" si="2"/>
        <v>0</v>
      </c>
      <c r="AA4" s="10">
        <f t="shared" si="2"/>
        <v>0</v>
      </c>
      <c r="AB4" s="10">
        <f t="shared" si="2"/>
        <v>0</v>
      </c>
    </row>
    <row r="5" spans="2:28">
      <c r="B5" s="11" t="s">
        <v>3</v>
      </c>
      <c r="C5" s="8">
        <f t="shared" si="0"/>
        <v>291</v>
      </c>
      <c r="D5" s="2">
        <f t="shared" si="0"/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149</v>
      </c>
      <c r="L5" s="2">
        <f t="shared" si="0"/>
        <v>80</v>
      </c>
      <c r="M5" s="2">
        <f t="shared" si="1"/>
        <v>0</v>
      </c>
      <c r="N5" s="2">
        <f t="shared" si="1"/>
        <v>0</v>
      </c>
      <c r="O5" s="2">
        <f t="shared" si="1"/>
        <v>0</v>
      </c>
      <c r="P5" s="2">
        <f t="shared" si="1"/>
        <v>0</v>
      </c>
      <c r="Q5" s="2">
        <f t="shared" si="1"/>
        <v>0</v>
      </c>
      <c r="R5" s="2">
        <f t="shared" si="1"/>
        <v>0</v>
      </c>
      <c r="S5" s="2">
        <f t="shared" si="1"/>
        <v>0</v>
      </c>
      <c r="T5" s="2">
        <f t="shared" si="1"/>
        <v>0</v>
      </c>
      <c r="U5" s="2">
        <f t="shared" si="1"/>
        <v>0</v>
      </c>
      <c r="V5" s="2">
        <f t="shared" si="1"/>
        <v>0</v>
      </c>
      <c r="W5" s="2">
        <f t="shared" si="2"/>
        <v>0</v>
      </c>
      <c r="X5" s="2">
        <f t="shared" si="2"/>
        <v>0</v>
      </c>
      <c r="Y5" s="2">
        <f t="shared" si="2"/>
        <v>0</v>
      </c>
      <c r="Z5" s="2">
        <f t="shared" si="2"/>
        <v>0</v>
      </c>
      <c r="AA5" s="2">
        <f t="shared" si="2"/>
        <v>0</v>
      </c>
      <c r="AB5" s="2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Assignment</vt:lpstr>
      <vt:lpstr>ChartData</vt:lpstr>
      <vt:lpstr>L_AssignedStation</vt:lpstr>
      <vt:lpstr>L_AssignmentNumber</vt:lpstr>
      <vt:lpstr>L_TaskTimes</vt:lpstr>
    </vt:vector>
  </TitlesOfParts>
  <Company>METU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ugura</dc:creator>
  <cp:lastModifiedBy>Basil Yap</cp:lastModifiedBy>
  <cp:lastPrinted>2012-02-17T00:54:02Z</cp:lastPrinted>
  <dcterms:created xsi:type="dcterms:W3CDTF">2011-03-05T07:08:01Z</dcterms:created>
  <dcterms:modified xsi:type="dcterms:W3CDTF">2018-02-20T07:38:11Z</dcterms:modified>
</cp:coreProperties>
</file>